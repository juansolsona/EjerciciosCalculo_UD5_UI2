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DGM\Downloads\"/>
    </mc:Choice>
  </mc:AlternateContent>
  <xr:revisionPtr revIDLastSave="0" documentId="13_ncr:1_{291D7E81-8865-4929-83F9-BFA22BB650C0}" xr6:coauthVersionLast="47" xr6:coauthVersionMax="47" xr10:uidLastSave="{00000000-0000-0000-0000-000000000000}"/>
  <bookViews>
    <workbookView xWindow="28680" yWindow="-120" windowWidth="29040" windowHeight="17520" activeTab="2" xr2:uid="{AB40F40F-1362-1B4F-978A-A9D55930D2D3}"/>
  </bookViews>
  <sheets>
    <sheet name="Tabla" sheetId="1" r:id="rId1"/>
    <sheet name="Datos Normalizados" sheetId="2" r:id="rId2"/>
    <sheet name="GRAF - Evolución de los pesos" sheetId="3" r:id="rId3"/>
    <sheet name="GRAF - Evolución gradient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1" i="2" l="1"/>
  <c r="Q11" i="2"/>
  <c r="P11" i="2"/>
  <c r="E23" i="2"/>
  <c r="D23" i="2"/>
  <c r="C23" i="2"/>
  <c r="B23" i="2"/>
  <c r="A23" i="2"/>
  <c r="E22" i="2"/>
  <c r="D22" i="2"/>
  <c r="C22" i="2"/>
  <c r="B22" i="2"/>
  <c r="A22" i="2"/>
  <c r="E21" i="2"/>
  <c r="D21" i="2"/>
  <c r="C21" i="2"/>
  <c r="B21" i="2"/>
  <c r="A21" i="2"/>
  <c r="E20" i="2"/>
  <c r="D20" i="2"/>
  <c r="C20" i="2"/>
  <c r="B20" i="2"/>
  <c r="A20" i="2"/>
  <c r="E19" i="2"/>
  <c r="D19" i="2"/>
  <c r="C19" i="2"/>
  <c r="B19" i="2"/>
  <c r="A19" i="2"/>
  <c r="E18" i="2"/>
  <c r="D18" i="2"/>
  <c r="C18" i="2"/>
  <c r="B18" i="2"/>
  <c r="A18" i="2"/>
  <c r="E17" i="2"/>
  <c r="D17" i="2"/>
  <c r="C17" i="2"/>
  <c r="B17" i="2"/>
  <c r="A17" i="2"/>
  <c r="E16" i="2"/>
  <c r="D16" i="2"/>
  <c r="C16" i="2"/>
  <c r="B16" i="2"/>
  <c r="A16" i="2"/>
  <c r="E15" i="2"/>
  <c r="D15" i="2"/>
  <c r="C15" i="2"/>
  <c r="B15" i="2"/>
  <c r="A15" i="2"/>
  <c r="E14" i="2"/>
  <c r="D14" i="2"/>
  <c r="C14" i="2"/>
  <c r="B14" i="2"/>
  <c r="A14" i="2"/>
  <c r="E13" i="2"/>
  <c r="D13" i="2"/>
  <c r="C13" i="2"/>
  <c r="B13" i="2"/>
  <c r="A13" i="2"/>
  <c r="E12" i="2"/>
  <c r="D12" i="2"/>
  <c r="C12" i="2"/>
  <c r="B12" i="2"/>
  <c r="A12" i="2"/>
  <c r="E11" i="2"/>
  <c r="D11" i="2"/>
  <c r="C11" i="2"/>
  <c r="B11" i="2"/>
  <c r="A11" i="2"/>
  <c r="E10" i="2"/>
  <c r="D10" i="2"/>
  <c r="C10" i="2"/>
  <c r="B10" i="2"/>
  <c r="A10" i="2"/>
  <c r="C5" i="2"/>
  <c r="B5" i="2"/>
  <c r="C4" i="2"/>
  <c r="B4" i="2"/>
  <c r="B6" i="2" s="1"/>
  <c r="F18" i="2" l="1"/>
  <c r="F11" i="2"/>
  <c r="F10" i="2"/>
  <c r="N10" i="2" s="1"/>
  <c r="F22" i="2"/>
  <c r="F13" i="2"/>
  <c r="C6" i="2"/>
  <c r="G22" i="2" s="1"/>
  <c r="F23" i="2"/>
  <c r="F20" i="2"/>
  <c r="F12" i="2"/>
  <c r="F21" i="2"/>
  <c r="F14" i="2"/>
  <c r="F15" i="2"/>
  <c r="F16" i="2"/>
  <c r="F17" i="2"/>
  <c r="F19" i="2"/>
  <c r="G14" i="2" l="1"/>
  <c r="G18" i="2"/>
  <c r="G21" i="2"/>
  <c r="G23" i="2"/>
  <c r="M10" i="2"/>
  <c r="G12" i="2"/>
  <c r="G15" i="2"/>
  <c r="G11" i="2"/>
  <c r="K11" i="2" s="1"/>
  <c r="L11" i="2" s="1"/>
  <c r="G19" i="2"/>
  <c r="G13" i="2"/>
  <c r="G20" i="2"/>
  <c r="G17" i="2"/>
  <c r="G10" i="2"/>
  <c r="G16" i="2"/>
  <c r="N11" i="2" l="1"/>
  <c r="I11" i="2" s="1"/>
  <c r="O11" i="2"/>
  <c r="J11" i="2" s="1"/>
  <c r="M11" i="2"/>
  <c r="H11" i="2" s="1"/>
  <c r="K10" i="2"/>
  <c r="P12" i="2"/>
  <c r="R12" i="2" l="1"/>
  <c r="Q12" i="2"/>
  <c r="K12" i="2" l="1"/>
  <c r="L12" i="2" s="1"/>
  <c r="O12" i="2" l="1"/>
  <c r="N12" i="2"/>
  <c r="I12" i="2" s="1"/>
  <c r="Q13" i="2" s="1"/>
  <c r="M12" i="2"/>
  <c r="J12" i="2"/>
  <c r="R13" i="2" s="1"/>
  <c r="H12" i="2"/>
  <c r="P13" i="2" s="1"/>
  <c r="K13" i="2" l="1"/>
  <c r="L13" i="2" s="1"/>
  <c r="M13" i="2" l="1"/>
  <c r="H13" i="2" s="1"/>
  <c r="P14" i="2" s="1"/>
  <c r="O13" i="2"/>
  <c r="J13" i="2" s="1"/>
  <c r="R14" i="2" s="1"/>
  <c r="K14" i="2" s="1"/>
  <c r="L14" i="2" s="1"/>
  <c r="N13" i="2"/>
  <c r="I13" i="2"/>
  <c r="Q14" i="2" s="1"/>
  <c r="N14" i="2" l="1"/>
  <c r="O14" i="2"/>
  <c r="M14" i="2"/>
  <c r="H14" i="2"/>
  <c r="P15" i="2" s="1"/>
  <c r="J14" i="2" l="1"/>
  <c r="R15" i="2" s="1"/>
  <c r="I14" i="2"/>
  <c r="Q15" i="2" s="1"/>
  <c r="K15" i="2" s="1"/>
  <c r="L15" i="2" s="1"/>
  <c r="O15" i="2" l="1"/>
  <c r="N15" i="2"/>
  <c r="M15" i="2"/>
  <c r="H15" i="2" s="1"/>
  <c r="P16" i="2" s="1"/>
  <c r="J15" i="2"/>
  <c r="R16" i="2" s="1"/>
  <c r="I15" i="2" l="1"/>
  <c r="Q16" i="2" s="1"/>
  <c r="K16" i="2" s="1"/>
  <c r="L16" i="2" s="1"/>
  <c r="N16" i="2" l="1"/>
  <c r="O16" i="2"/>
  <c r="M16" i="2"/>
  <c r="H16" i="2"/>
  <c r="P17" i="2" s="1"/>
  <c r="J16" i="2"/>
  <c r="R17" i="2" s="1"/>
  <c r="I16" i="2" l="1"/>
  <c r="Q17" i="2" s="1"/>
  <c r="K17" i="2"/>
  <c r="L17" i="2" s="1"/>
  <c r="O17" i="2" l="1"/>
  <c r="N17" i="2"/>
  <c r="M17" i="2"/>
  <c r="H17" i="2" s="1"/>
  <c r="P18" i="2" s="1"/>
  <c r="J17" i="2"/>
  <c r="R18" i="2" s="1"/>
  <c r="I17" i="2" l="1"/>
  <c r="Q18" i="2" s="1"/>
  <c r="K18" i="2"/>
  <c r="L18" i="2" s="1"/>
  <c r="O18" i="2" l="1"/>
  <c r="M18" i="2"/>
  <c r="N18" i="2"/>
  <c r="J18" i="2"/>
  <c r="R19" i="2" s="1"/>
  <c r="H18" i="2"/>
  <c r="P19" i="2" s="1"/>
  <c r="I18" i="2" l="1"/>
  <c r="Q19" i="2" s="1"/>
  <c r="K19" i="2" s="1"/>
  <c r="L19" i="2" s="1"/>
  <c r="O19" i="2" l="1"/>
  <c r="N19" i="2"/>
  <c r="M19" i="2"/>
  <c r="J19" i="2"/>
  <c r="R20" i="2" s="1"/>
  <c r="H19" i="2"/>
  <c r="P20" i="2" s="1"/>
  <c r="I19" i="2" l="1"/>
  <c r="Q20" i="2" s="1"/>
  <c r="K20" i="2" s="1"/>
  <c r="L20" i="2" s="1"/>
  <c r="M20" i="2" l="1"/>
  <c r="O20" i="2"/>
  <c r="N20" i="2"/>
  <c r="J20" i="2"/>
  <c r="R21" i="2" s="1"/>
  <c r="H20" i="2"/>
  <c r="P21" i="2" s="1"/>
  <c r="I20" i="2" l="1"/>
  <c r="Q21" i="2" s="1"/>
  <c r="K21" i="2" s="1"/>
  <c r="L21" i="2" s="1"/>
  <c r="O21" i="2" l="1"/>
  <c r="N21" i="2"/>
  <c r="M21" i="2"/>
  <c r="H21" i="2"/>
  <c r="P22" i="2" s="1"/>
  <c r="J21" i="2"/>
  <c r="R22" i="2" s="1"/>
  <c r="I21" i="2" l="1"/>
  <c r="Q22" i="2" s="1"/>
  <c r="K22" i="2" s="1"/>
  <c r="L22" i="2" s="1"/>
  <c r="M22" i="2" l="1"/>
  <c r="O22" i="2"/>
  <c r="N22" i="2"/>
  <c r="J22" i="2"/>
  <c r="R23" i="2" s="1"/>
  <c r="H22" i="2"/>
  <c r="P23" i="2" s="1"/>
  <c r="I22" i="2" l="1"/>
  <c r="Q23" i="2" s="1"/>
  <c r="K23" i="2" s="1"/>
  <c r="L23" i="2" s="1"/>
  <c r="O23" i="2" l="1"/>
  <c r="N23" i="2"/>
  <c r="M23" i="2"/>
  <c r="H23" i="2" s="1"/>
  <c r="J23" i="2"/>
  <c r="I23" i="2" l="1"/>
</calcChain>
</file>

<file path=xl/sharedStrings.xml><?xml version="1.0" encoding="utf-8"?>
<sst xmlns="http://schemas.openxmlformats.org/spreadsheetml/2006/main" count="64" uniqueCount="39">
  <si>
    <t>Lote</t>
  </si>
  <si>
    <t>Edad</t>
  </si>
  <si>
    <t>Ingresos</t>
  </si>
  <si>
    <t>Compra</t>
  </si>
  <si>
    <t>𝑡:</t>
  </si>
  <si>
    <t>lote</t>
  </si>
  <si>
    <t>𝑥1:</t>
  </si>
  <si>
    <t>(años)</t>
  </si>
  <si>
    <t>𝑥2:</t>
  </si>
  <si>
    <t>(miles de euros)</t>
  </si>
  <si>
    <t>𝑦:</t>
  </si>
  <si>
    <t>(0: No / 1: Sí)</t>
  </si>
  <si>
    <t>Entrenamiento</t>
  </si>
  <si>
    <t>/ Test</t>
  </si>
  <si>
    <t>Test</t>
  </si>
  <si>
    <t>x1</t>
  </si>
  <si>
    <t>x2</t>
  </si>
  <si>
    <t>Max</t>
  </si>
  <si>
    <t>Min</t>
  </si>
  <si>
    <t>Edad normalizada</t>
  </si>
  <si>
    <t>Ingresos Normalizados</t>
  </si>
  <si>
    <t>Rango</t>
  </si>
  <si>
    <t>w1</t>
  </si>
  <si>
    <t>w2</t>
  </si>
  <si>
    <t>b</t>
  </si>
  <si>
    <t>h</t>
  </si>
  <si>
    <t>y\hat</t>
  </si>
  <si>
    <t>\eta</t>
  </si>
  <si>
    <t>Tasa de aprendizaje</t>
  </si>
  <si>
    <t>Gradiente 1</t>
  </si>
  <si>
    <t>Gradiente 2</t>
  </si>
  <si>
    <t>Gradiente h</t>
  </si>
  <si>
    <t>Edad (x1)</t>
  </si>
  <si>
    <t>Ingresos (x2)</t>
  </si>
  <si>
    <t>Compra (y)</t>
  </si>
  <si>
    <t>Test/Entreno</t>
  </si>
  <si>
    <t>w1_prev</t>
  </si>
  <si>
    <t>w2_prev</t>
  </si>
  <si>
    <t>b_prev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</si>
</sst>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theme="1"/>
      <name val="Helvetica"/>
      <family val="2"/>
    </font>
    <font>
      <sz val="11"/>
      <color theme="4" tint="0.79998168889431442"/>
      <name val="Helvetica"/>
      <family val="2"/>
    </font>
    <font>
      <sz val="11"/>
      <color theme="4" tint="0.7999816888943144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31941744"/>
        <c:axId val="231938864"/>
      </c:barChart>
      <c:catAx>
        <c:axId val="2319417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31938864"/>
        <c:crosses val="autoZero"/>
        <c:auto val="1"/>
        <c:lblAlgn val="ctr"/>
        <c:lblOffset val="100"/>
        <c:noMultiLvlLbl val="0"/>
      </c:catAx>
      <c:valAx>
        <c:axId val="231938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31941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Evolución de los pesos durante el entrenamiento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'GRAF - Evolución de los pesos'!$B$1</c:f>
              <c:strCache>
                <c:ptCount val="1"/>
                <c:pt idx="0">
                  <c:v>w1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'GRAF - Evolución de los pesos'!$B$2:$B$15</c:f>
              <c:numCache>
                <c:formatCode>General</c:formatCode>
                <c:ptCount val="14"/>
                <c:pt idx="0">
                  <c:v>0.5</c:v>
                </c:pt>
                <c:pt idx="1">
                  <c:v>0.49883181761872852</c:v>
                </c:pt>
                <c:pt idx="2">
                  <c:v>0.48654574247051147</c:v>
                </c:pt>
                <c:pt idx="3">
                  <c:v>0.48857491185851848</c:v>
                </c:pt>
                <c:pt idx="4">
                  <c:v>0.47418899886334448</c:v>
                </c:pt>
                <c:pt idx="5">
                  <c:v>0.47581444715719778</c:v>
                </c:pt>
                <c:pt idx="6">
                  <c:v>0.47899501480819423</c:v>
                </c:pt>
                <c:pt idx="7">
                  <c:v>0.47665727602302954</c:v>
                </c:pt>
                <c:pt idx="8">
                  <c:v>0.46612146969735901</c:v>
                </c:pt>
                <c:pt idx="9">
                  <c:v>0.46806300414393209</c:v>
                </c:pt>
                <c:pt idx="10">
                  <c:v>0.46806300414393209</c:v>
                </c:pt>
                <c:pt idx="11">
                  <c:v>0.47014271893132797</c:v>
                </c:pt>
                <c:pt idx="12">
                  <c:v>0.45646886587036983</c:v>
                </c:pt>
                <c:pt idx="13">
                  <c:v>0.45939926565545836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76A-44CC-81CC-48EA9FC85952}"/>
            </c:ext>
          </c:extLst>
        </c:ser>
        <c:ser>
          <c:idx val="2"/>
          <c:order val="1"/>
          <c:tx>
            <c:strRef>
              <c:f>'GRAF - Evolución de los pesos'!$C$1</c:f>
              <c:strCache>
                <c:ptCount val="1"/>
                <c:pt idx="0">
                  <c:v>w2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'GRAF - Evolución de los pesos'!$C$2:$C$15</c:f>
              <c:numCache>
                <c:formatCode>General</c:formatCode>
                <c:ptCount val="14"/>
                <c:pt idx="0">
                  <c:v>0.5</c:v>
                </c:pt>
                <c:pt idx="1">
                  <c:v>0.49722556684448022</c:v>
                </c:pt>
                <c:pt idx="2">
                  <c:v>0.49280444131765971</c:v>
                </c:pt>
                <c:pt idx="3">
                  <c:v>0.49672010412107953</c:v>
                </c:pt>
                <c:pt idx="4">
                  <c:v>0.49582098455888118</c:v>
                </c:pt>
                <c:pt idx="5">
                  <c:v>0.49929538028699255</c:v>
                </c:pt>
                <c:pt idx="6">
                  <c:v>0.50220070650665272</c:v>
                </c:pt>
                <c:pt idx="7">
                  <c:v>0.49664857689188657</c:v>
                </c:pt>
                <c:pt idx="8">
                  <c:v>0.49039294188601967</c:v>
                </c:pt>
                <c:pt idx="9">
                  <c:v>0.49429467937961363</c:v>
                </c:pt>
                <c:pt idx="10">
                  <c:v>0.49429467937961363</c:v>
                </c:pt>
                <c:pt idx="11">
                  <c:v>0.49868518837522724</c:v>
                </c:pt>
                <c:pt idx="12">
                  <c:v>0.4959789049569126</c:v>
                </c:pt>
                <c:pt idx="13">
                  <c:v>0.49961005251669621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76A-44CC-81CC-48EA9FC85952}"/>
            </c:ext>
          </c:extLst>
        </c:ser>
        <c:ser>
          <c:idx val="3"/>
          <c:order val="2"/>
          <c:tx>
            <c:strRef>
              <c:f>'GRAF - Evolución de los pesos'!$D$1</c:f>
              <c:strCache>
                <c:ptCount val="1"/>
                <c:pt idx="0">
                  <c:v>b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'GRAF - Evolución de los pesos'!$D$2:$D$15</c:f>
              <c:numCache>
                <c:formatCode>General</c:formatCode>
                <c:ptCount val="14"/>
                <c:pt idx="0">
                  <c:v>0.5</c:v>
                </c:pt>
                <c:pt idx="1">
                  <c:v>0.4852030231705613</c:v>
                </c:pt>
                <c:pt idx="2">
                  <c:v>0.47105542148473561</c:v>
                </c:pt>
                <c:pt idx="3">
                  <c:v>0.47587469878125227</c:v>
                </c:pt>
                <c:pt idx="4">
                  <c:v>0.46148878578607827</c:v>
                </c:pt>
                <c:pt idx="5">
                  <c:v>0.46766548930272073</c:v>
                </c:pt>
                <c:pt idx="6">
                  <c:v>0.47231401125417705</c:v>
                </c:pt>
                <c:pt idx="7">
                  <c:v>0.45750833228146731</c:v>
                </c:pt>
                <c:pt idx="8">
                  <c:v>0.44320973798234303</c:v>
                </c:pt>
                <c:pt idx="9">
                  <c:v>0.44888499251847974</c:v>
                </c:pt>
                <c:pt idx="10">
                  <c:v>0.43436922474067641</c:v>
                </c:pt>
                <c:pt idx="11">
                  <c:v>0.43875973373629001</c:v>
                </c:pt>
                <c:pt idx="12">
                  <c:v>0.42432622217194527</c:v>
                </c:pt>
                <c:pt idx="13">
                  <c:v>0.42916775225165671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76A-44CC-81CC-48EA9FC859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3773160"/>
        <c:axId val="743767400"/>
      </c:lineChart>
      <c:catAx>
        <c:axId val="743773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43767400"/>
        <c:crosses val="autoZero"/>
        <c:auto val="1"/>
        <c:lblAlgn val="ctr"/>
        <c:lblOffset val="100"/>
        <c:noMultiLvlLbl val="0"/>
      </c:catAx>
      <c:valAx>
        <c:axId val="743767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43773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Evolución de los gradientes durante el entrenamiento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4"/>
          <c:order val="0"/>
          <c:tx>
            <c:strRef>
              <c:f>'GRAF - Evolución gradientes'!$B$1</c:f>
              <c:strCache>
                <c:ptCount val="1"/>
                <c:pt idx="0">
                  <c:v>Gradiente 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'GRAF - Evolución gradientes'!$B$2:$B$15</c:f>
              <c:numCache>
                <c:formatCode>General</c:formatCode>
                <c:ptCount val="14"/>
                <c:pt idx="0">
                  <c:v>0</c:v>
                </c:pt>
                <c:pt idx="1">
                  <c:v>1.1681823812714773E-2</c:v>
                </c:pt>
                <c:pt idx="2">
                  <c:v>0.12286075148217035</c:v>
                </c:pt>
                <c:pt idx="3">
                  <c:v>-2.0291693880070228E-2</c:v>
                </c:pt>
                <c:pt idx="4">
                  <c:v>0.14385912995173974</c:v>
                </c:pt>
                <c:pt idx="5">
                  <c:v>-1.6254482938532825E-2</c:v>
                </c:pt>
                <c:pt idx="6">
                  <c:v>-3.1805676509964464E-2</c:v>
                </c:pt>
                <c:pt idx="7">
                  <c:v>2.3377387851646957E-2</c:v>
                </c:pt>
                <c:pt idx="8">
                  <c:v>0.10535806325670527</c:v>
                </c:pt>
                <c:pt idx="9">
                  <c:v>-1.9415344465730833E-2</c:v>
                </c:pt>
                <c:pt idx="10">
                  <c:v>0</c:v>
                </c:pt>
                <c:pt idx="11">
                  <c:v>-2.0797147873959074E-2</c:v>
                </c:pt>
                <c:pt idx="12">
                  <c:v>0.13673853060958158</c:v>
                </c:pt>
                <c:pt idx="13">
                  <c:v>-2.9303997850885145E-2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94C-47AA-863A-4B33C157B6DE}"/>
            </c:ext>
          </c:extLst>
        </c:ser>
        <c:ser>
          <c:idx val="5"/>
          <c:order val="1"/>
          <c:tx>
            <c:strRef>
              <c:f>'GRAF - Evolución gradientes'!$C$1</c:f>
              <c:strCache>
                <c:ptCount val="1"/>
                <c:pt idx="0">
                  <c:v>Gradiente 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'GRAF - Evolución gradientes'!$C$2:$C$15</c:f>
              <c:numCache>
                <c:formatCode>General</c:formatCode>
                <c:ptCount val="14"/>
                <c:pt idx="0">
                  <c:v>0</c:v>
                </c:pt>
                <c:pt idx="1">
                  <c:v>2.7744331555197593E-2</c:v>
                </c:pt>
                <c:pt idx="2">
                  <c:v>4.4211255268205234E-2</c:v>
                </c:pt>
                <c:pt idx="3">
                  <c:v>-3.9156628034198025E-2</c:v>
                </c:pt>
                <c:pt idx="4">
                  <c:v>8.9911956219837427E-3</c:v>
                </c:pt>
                <c:pt idx="5">
                  <c:v>-3.4743957281113923E-2</c:v>
                </c:pt>
                <c:pt idx="6">
                  <c:v>-2.9053262196602165E-2</c:v>
                </c:pt>
                <c:pt idx="7">
                  <c:v>5.552129614766154E-2</c:v>
                </c:pt>
                <c:pt idx="8">
                  <c:v>6.2556350058668761E-2</c:v>
                </c:pt>
                <c:pt idx="9">
                  <c:v>-3.9017374935939847E-2</c:v>
                </c:pt>
                <c:pt idx="10">
                  <c:v>0</c:v>
                </c:pt>
                <c:pt idx="11">
                  <c:v>-4.3905089956135825E-2</c:v>
                </c:pt>
                <c:pt idx="12">
                  <c:v>2.7062834183146364E-2</c:v>
                </c:pt>
                <c:pt idx="13">
                  <c:v>-3.6311475597835943E-2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94C-47AA-863A-4B33C157B6DE}"/>
            </c:ext>
          </c:extLst>
        </c:ser>
        <c:ser>
          <c:idx val="6"/>
          <c:order val="2"/>
          <c:tx>
            <c:strRef>
              <c:f>'GRAF - Evolución gradientes'!$D$1</c:f>
              <c:strCache>
                <c:ptCount val="1"/>
                <c:pt idx="0">
                  <c:v>Gradiente h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'GRAF - Evolución gradientes'!$D$2:$D$15</c:f>
              <c:numCache>
                <c:formatCode>General</c:formatCode>
                <c:ptCount val="14"/>
                <c:pt idx="1">
                  <c:v>0.14796976829438713</c:v>
                </c:pt>
                <c:pt idx="2">
                  <c:v>0.14147601685825675</c:v>
                </c:pt>
                <c:pt idx="3">
                  <c:v>-4.8192772965166795E-2</c:v>
                </c:pt>
                <c:pt idx="4">
                  <c:v>0.14385912995173974</c:v>
                </c:pt>
                <c:pt idx="5">
                  <c:v>-6.176703516642474E-2</c:v>
                </c:pt>
                <c:pt idx="6">
                  <c:v>-4.6485219514563449E-2</c:v>
                </c:pt>
                <c:pt idx="7">
                  <c:v>0.1480567897270974</c:v>
                </c:pt>
                <c:pt idx="8">
                  <c:v>0.14298594299124287</c:v>
                </c:pt>
                <c:pt idx="9">
                  <c:v>-5.6752545361367049E-2</c:v>
                </c:pt>
                <c:pt idx="10">
                  <c:v>0.14515767777803348</c:v>
                </c:pt>
                <c:pt idx="11">
                  <c:v>-4.3905089956135825E-2</c:v>
                </c:pt>
                <c:pt idx="12">
                  <c:v>0.14433511564344723</c:v>
                </c:pt>
                <c:pt idx="13">
                  <c:v>-4.8415300797114591E-2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394C-47AA-863A-4B33C157B6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3773160"/>
        <c:axId val="743767400"/>
      </c:lineChart>
      <c:catAx>
        <c:axId val="743773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43767400"/>
        <c:crosses val="autoZero"/>
        <c:auto val="1"/>
        <c:lblAlgn val="ctr"/>
        <c:lblOffset val="100"/>
        <c:noMultiLvlLbl val="0"/>
      </c:catAx>
      <c:valAx>
        <c:axId val="743767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43773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778565</xdr:colOff>
      <xdr:row>26</xdr:row>
      <xdr:rowOff>164823</xdr:rowOff>
    </xdr:from>
    <xdr:to>
      <xdr:col>6</xdr:col>
      <xdr:colOff>1200978</xdr:colOff>
      <xdr:row>40</xdr:row>
      <xdr:rowOff>125066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B0DF55D-A3F3-9654-0AD9-5031F64AC2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747711</xdr:colOff>
      <xdr:row>3</xdr:row>
      <xdr:rowOff>161925</xdr:rowOff>
    </xdr:from>
    <xdr:to>
      <xdr:col>14</xdr:col>
      <xdr:colOff>66674</xdr:colOff>
      <xdr:row>28</xdr:row>
      <xdr:rowOff>171450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65321A4-1CDD-4F5E-85C5-63F759E9E9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76200</xdr:rowOff>
    </xdr:from>
    <xdr:to>
      <xdr:col>14</xdr:col>
      <xdr:colOff>157163</xdr:colOff>
      <xdr:row>28</xdr:row>
      <xdr:rowOff>85725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14B562D-A4D8-4D34-A8B0-7966E2FC95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88B1D-4467-D343-83AA-8E447E28FFD4}">
  <dimension ref="A1:E17"/>
  <sheetViews>
    <sheetView workbookViewId="0">
      <selection sqref="A1:E3"/>
    </sheetView>
  </sheetViews>
  <sheetFormatPr baseColWidth="10" defaultRowHeight="15.75" x14ac:dyDescent="0.25"/>
  <cols>
    <col min="5" max="5" width="14.5" bestFit="1" customWidth="1"/>
  </cols>
  <sheetData>
    <row r="1" spans="1:5" x14ac:dyDescent="0.25">
      <c r="A1" s="1" t="s">
        <v>5</v>
      </c>
      <c r="B1" s="1" t="s">
        <v>1</v>
      </c>
      <c r="C1" s="1" t="s">
        <v>2</v>
      </c>
      <c r="D1" s="1" t="s">
        <v>3</v>
      </c>
      <c r="E1" s="1" t="s">
        <v>13</v>
      </c>
    </row>
    <row r="2" spans="1:5" x14ac:dyDescent="0.25">
      <c r="B2" s="1" t="s">
        <v>7</v>
      </c>
      <c r="C2" s="1" t="s">
        <v>9</v>
      </c>
      <c r="D2" s="1" t="s">
        <v>11</v>
      </c>
    </row>
    <row r="3" spans="1:5" x14ac:dyDescent="0.25">
      <c r="A3" s="1" t="s">
        <v>4</v>
      </c>
      <c r="B3" s="1" t="s">
        <v>6</v>
      </c>
      <c r="C3" s="1" t="s">
        <v>8</v>
      </c>
      <c r="D3" s="1" t="s">
        <v>10</v>
      </c>
      <c r="E3" s="1" t="s">
        <v>12</v>
      </c>
    </row>
    <row r="4" spans="1:5" x14ac:dyDescent="0.25">
      <c r="A4" s="1">
        <v>1</v>
      </c>
      <c r="B4" s="1">
        <v>42</v>
      </c>
      <c r="C4" s="1">
        <v>2.6</v>
      </c>
      <c r="D4" s="1">
        <v>1</v>
      </c>
      <c r="E4" s="1" t="s">
        <v>12</v>
      </c>
    </row>
    <row r="5" spans="1:5" x14ac:dyDescent="0.25">
      <c r="A5" s="1">
        <v>2</v>
      </c>
      <c r="B5" s="1">
        <v>25</v>
      </c>
      <c r="C5" s="1">
        <v>1.5</v>
      </c>
      <c r="D5" s="1">
        <v>0</v>
      </c>
      <c r="E5" s="1" t="s">
        <v>12</v>
      </c>
    </row>
    <row r="6" spans="1:5" x14ac:dyDescent="0.25">
      <c r="A6" s="1">
        <v>3</v>
      </c>
      <c r="B6" s="1">
        <v>55</v>
      </c>
      <c r="C6" s="1">
        <v>1.7</v>
      </c>
      <c r="D6" s="1">
        <v>0</v>
      </c>
      <c r="E6" s="1" t="s">
        <v>12</v>
      </c>
    </row>
    <row r="7" spans="1:5" x14ac:dyDescent="0.25">
      <c r="A7" s="1">
        <v>4</v>
      </c>
      <c r="B7" s="1">
        <v>38</v>
      </c>
      <c r="C7" s="1">
        <v>2.5</v>
      </c>
      <c r="D7" s="1">
        <v>1</v>
      </c>
      <c r="E7" s="1" t="s">
        <v>12</v>
      </c>
    </row>
    <row r="8" spans="1:5" x14ac:dyDescent="0.25">
      <c r="A8" s="1">
        <v>5</v>
      </c>
      <c r="B8" s="1">
        <v>60</v>
      </c>
      <c r="C8" s="1">
        <v>1.3</v>
      </c>
      <c r="D8" s="1">
        <v>0</v>
      </c>
      <c r="E8" s="1" t="s">
        <v>12</v>
      </c>
    </row>
    <row r="9" spans="1:5" x14ac:dyDescent="0.25">
      <c r="A9" s="1">
        <v>6</v>
      </c>
      <c r="B9" s="1">
        <v>32</v>
      </c>
      <c r="C9" s="1">
        <v>2.1</v>
      </c>
      <c r="D9" s="1">
        <v>1</v>
      </c>
      <c r="E9" s="1" t="s">
        <v>12</v>
      </c>
    </row>
    <row r="10" spans="1:5" x14ac:dyDescent="0.25">
      <c r="A10" s="1">
        <v>7</v>
      </c>
      <c r="B10" s="1">
        <v>48</v>
      </c>
      <c r="C10" s="1">
        <v>2.2000000000000002</v>
      </c>
      <c r="D10" s="1">
        <v>1</v>
      </c>
      <c r="E10" s="1" t="s">
        <v>12</v>
      </c>
    </row>
    <row r="11" spans="1:5" x14ac:dyDescent="0.25">
      <c r="A11" s="1">
        <v>8</v>
      </c>
      <c r="B11" s="1">
        <v>28</v>
      </c>
      <c r="C11" s="1">
        <v>1.8</v>
      </c>
      <c r="D11" s="1">
        <v>0</v>
      </c>
      <c r="E11" s="1" t="s">
        <v>12</v>
      </c>
    </row>
    <row r="12" spans="1:5" x14ac:dyDescent="0.25">
      <c r="A12" s="1">
        <v>9</v>
      </c>
      <c r="B12" s="1">
        <v>50</v>
      </c>
      <c r="C12" s="1">
        <v>1.9</v>
      </c>
      <c r="D12" s="1">
        <v>0</v>
      </c>
      <c r="E12" s="1" t="s">
        <v>12</v>
      </c>
    </row>
    <row r="13" spans="1:5" x14ac:dyDescent="0.25">
      <c r="A13" s="1">
        <v>10</v>
      </c>
      <c r="B13" s="1">
        <v>35</v>
      </c>
      <c r="C13" s="1">
        <v>2.2999999999999998</v>
      </c>
      <c r="D13" s="1">
        <v>1</v>
      </c>
      <c r="E13" s="1" t="s">
        <v>12</v>
      </c>
    </row>
    <row r="14" spans="1:5" x14ac:dyDescent="0.25">
      <c r="A14" s="1">
        <v>11</v>
      </c>
      <c r="B14" s="1">
        <v>22</v>
      </c>
      <c r="C14" s="1">
        <v>1.2</v>
      </c>
      <c r="D14" s="1">
        <v>0</v>
      </c>
      <c r="E14" s="1" t="s">
        <v>14</v>
      </c>
    </row>
    <row r="15" spans="1:5" x14ac:dyDescent="0.25">
      <c r="A15" s="1">
        <v>12</v>
      </c>
      <c r="B15" s="1">
        <v>40</v>
      </c>
      <c r="C15" s="1">
        <v>2.8</v>
      </c>
      <c r="D15" s="1">
        <v>1</v>
      </c>
      <c r="E15" s="1" t="s">
        <v>14</v>
      </c>
    </row>
    <row r="16" spans="1:5" x14ac:dyDescent="0.25">
      <c r="A16" s="1">
        <v>13</v>
      </c>
      <c r="B16" s="1">
        <v>58</v>
      </c>
      <c r="C16" s="1">
        <v>1.5</v>
      </c>
      <c r="D16" s="1">
        <v>0</v>
      </c>
      <c r="E16" s="1" t="s">
        <v>14</v>
      </c>
    </row>
    <row r="17" spans="1:5" x14ac:dyDescent="0.25">
      <c r="A17" s="1">
        <v>14</v>
      </c>
      <c r="B17" s="1">
        <v>45</v>
      </c>
      <c r="C17" s="1">
        <v>2.4</v>
      </c>
      <c r="D17" s="1">
        <v>1</v>
      </c>
      <c r="E17" s="1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838DA-66C9-B349-9E78-CF8C7D862657}">
  <dimension ref="A1:R23"/>
  <sheetViews>
    <sheetView topLeftCell="A5" zoomScale="115" zoomScaleNormal="115" workbookViewId="0">
      <selection activeCell="A9" sqref="A9:XFD23"/>
    </sheetView>
  </sheetViews>
  <sheetFormatPr baseColWidth="10" defaultRowHeight="15.75" x14ac:dyDescent="0.25"/>
  <cols>
    <col min="5" max="5" width="14.5" bestFit="1" customWidth="1"/>
    <col min="6" max="6" width="18" bestFit="1" customWidth="1"/>
    <col min="7" max="7" width="22.5" bestFit="1" customWidth="1"/>
    <col min="10" max="10" width="12.875" bestFit="1" customWidth="1"/>
    <col min="13" max="13" width="17.5" customWidth="1"/>
    <col min="14" max="14" width="11.875" bestFit="1" customWidth="1"/>
  </cols>
  <sheetData>
    <row r="1" spans="1:18" x14ac:dyDescent="0.25">
      <c r="B1" s="1" t="s">
        <v>1</v>
      </c>
      <c r="C1" s="1" t="s">
        <v>2</v>
      </c>
    </row>
    <row r="2" spans="1:18" x14ac:dyDescent="0.25">
      <c r="B2" s="1" t="s">
        <v>7</v>
      </c>
      <c r="C2" s="1" t="s">
        <v>9</v>
      </c>
    </row>
    <row r="3" spans="1:18" x14ac:dyDescent="0.25">
      <c r="B3" t="s">
        <v>15</v>
      </c>
      <c r="C3" t="s">
        <v>16</v>
      </c>
    </row>
    <row r="4" spans="1:18" x14ac:dyDescent="0.25">
      <c r="A4" t="s">
        <v>17</v>
      </c>
      <c r="B4">
        <f>MAX(Tabla!B4:B17)</f>
        <v>60</v>
      </c>
      <c r="C4">
        <f>MAX(Tabla!C4:C17)</f>
        <v>2.8</v>
      </c>
    </row>
    <row r="5" spans="1:18" x14ac:dyDescent="0.25">
      <c r="A5" t="s">
        <v>18</v>
      </c>
      <c r="B5">
        <f>MIN(Tabla!B4:B17)</f>
        <v>22</v>
      </c>
      <c r="C5">
        <f>MIN(Tabla!C4:C17)</f>
        <v>1.2</v>
      </c>
    </row>
    <row r="6" spans="1:18" x14ac:dyDescent="0.25">
      <c r="A6" t="s">
        <v>21</v>
      </c>
      <c r="B6">
        <f>B4-B5</f>
        <v>38</v>
      </c>
      <c r="C6">
        <f>C4-C5</f>
        <v>1.5999999999999999</v>
      </c>
    </row>
    <row r="7" spans="1:18" x14ac:dyDescent="0.25">
      <c r="A7" t="s">
        <v>27</v>
      </c>
      <c r="B7">
        <v>0.1</v>
      </c>
      <c r="D7" t="s">
        <v>28</v>
      </c>
    </row>
    <row r="9" spans="1:18" s="3" customFormat="1" ht="15" x14ac:dyDescent="0.25">
      <c r="A9" s="2" t="s">
        <v>0</v>
      </c>
      <c r="B9" s="2" t="s">
        <v>32</v>
      </c>
      <c r="C9" s="2" t="s">
        <v>33</v>
      </c>
      <c r="D9" s="2" t="s">
        <v>34</v>
      </c>
      <c r="E9" s="2" t="s">
        <v>35</v>
      </c>
      <c r="F9" s="2" t="s">
        <v>19</v>
      </c>
      <c r="G9" s="2" t="s">
        <v>20</v>
      </c>
      <c r="H9" s="2" t="s">
        <v>22</v>
      </c>
      <c r="I9" s="2" t="s">
        <v>23</v>
      </c>
      <c r="J9" s="2" t="s">
        <v>24</v>
      </c>
      <c r="K9" s="2" t="s">
        <v>25</v>
      </c>
      <c r="L9" s="2" t="s">
        <v>26</v>
      </c>
      <c r="M9" s="2" t="s">
        <v>29</v>
      </c>
      <c r="N9" s="2" t="s">
        <v>30</v>
      </c>
      <c r="O9" s="3" t="s">
        <v>31</v>
      </c>
      <c r="P9" s="3" t="s">
        <v>36</v>
      </c>
      <c r="Q9" s="3" t="s">
        <v>37</v>
      </c>
      <c r="R9" s="3" t="s">
        <v>38</v>
      </c>
    </row>
    <row r="10" spans="1:18" x14ac:dyDescent="0.25">
      <c r="A10">
        <f>Tabla!A4</f>
        <v>1</v>
      </c>
      <c r="B10">
        <f>Tabla!B4</f>
        <v>42</v>
      </c>
      <c r="C10">
        <f>Tabla!C4</f>
        <v>2.6</v>
      </c>
      <c r="D10">
        <f>Tabla!D4</f>
        <v>1</v>
      </c>
      <c r="E10" t="str">
        <f>Tabla!E4</f>
        <v>Entrenamiento</v>
      </c>
      <c r="F10">
        <f>(B10-B$5)/B$6</f>
        <v>0.52631578947368418</v>
      </c>
      <c r="G10">
        <f t="shared" ref="G10:G23" si="0">(C10-C$5)/C$6</f>
        <v>0.87500000000000011</v>
      </c>
      <c r="H10">
        <v>0.5</v>
      </c>
      <c r="I10">
        <v>0.5</v>
      </c>
      <c r="J10">
        <v>0.5</v>
      </c>
      <c r="K10">
        <f xml:space="preserve"> P11*F11 + Q11*G11 + R11</f>
        <v>0.63322368421052633</v>
      </c>
      <c r="M10">
        <f>($L10 -$D10) *$L10 * (1 -$L10) *$F10</f>
        <v>0</v>
      </c>
      <c r="N10">
        <f>($L10 -$D10) *$L10 * (1 -$L10) *$F10</f>
        <v>0</v>
      </c>
    </row>
    <row r="11" spans="1:18" x14ac:dyDescent="0.25">
      <c r="A11">
        <f>Tabla!A5</f>
        <v>2</v>
      </c>
      <c r="B11">
        <f>Tabla!B5</f>
        <v>25</v>
      </c>
      <c r="C11">
        <f>Tabla!C5</f>
        <v>1.5</v>
      </c>
      <c r="D11">
        <f>Tabla!D5</f>
        <v>0</v>
      </c>
      <c r="E11" t="str">
        <f>Tabla!E5</f>
        <v>Entrenamiento</v>
      </c>
      <c r="F11">
        <f t="shared" ref="F11:F23" si="1">(B11-B$5)/B$6</f>
        <v>7.8947368421052627E-2</v>
      </c>
      <c r="G11">
        <f t="shared" si="0"/>
        <v>0.18750000000000006</v>
      </c>
      <c r="H11">
        <f>$P11-$B$7*$M11</f>
        <v>0.49883181761872852</v>
      </c>
      <c r="I11">
        <f>$Q11-$B$7*$N11</f>
        <v>0.49722556684448022</v>
      </c>
      <c r="J11">
        <f>R11-$B$7*O11</f>
        <v>0.4852030231705613</v>
      </c>
      <c r="K11">
        <f xml:space="preserve"> P11 * F11 + Q11 * G11 + R11</f>
        <v>0.63322368421052633</v>
      </c>
      <c r="L11">
        <f>1/(1+EXP(-$K11))</f>
        <v>0.65322006302021018</v>
      </c>
      <c r="M11">
        <f xml:space="preserve"> ($L11 - $D11) * $L11 * (1 - $L11) * $F11</f>
        <v>1.1681823812714773E-2</v>
      </c>
      <c r="N11">
        <f xml:space="preserve"> ($L11 - $D11) * $L11 * (1 - $L11) * $G11</f>
        <v>2.7744331555197593E-2</v>
      </c>
      <c r="O11">
        <f xml:space="preserve"> ($L11 - $D11) * $L11 * (1 - $L11)</f>
        <v>0.14796976829438713</v>
      </c>
      <c r="P11">
        <f>H10</f>
        <v>0.5</v>
      </c>
      <c r="Q11">
        <f t="shared" ref="Q11:R23" si="2">I10</f>
        <v>0.5</v>
      </c>
      <c r="R11">
        <f t="shared" si="2"/>
        <v>0.5</v>
      </c>
    </row>
    <row r="12" spans="1:18" x14ac:dyDescent="0.25">
      <c r="A12">
        <f>Tabla!A6</f>
        <v>3</v>
      </c>
      <c r="B12">
        <f>Tabla!B6</f>
        <v>55</v>
      </c>
      <c r="C12">
        <f>Tabla!C6</f>
        <v>1.7</v>
      </c>
      <c r="D12">
        <f>Tabla!D6</f>
        <v>0</v>
      </c>
      <c r="E12" t="str">
        <f>Tabla!E6</f>
        <v>Entrenamiento</v>
      </c>
      <c r="F12">
        <f t="shared" si="1"/>
        <v>0.86842105263157898</v>
      </c>
      <c r="G12">
        <f t="shared" si="0"/>
        <v>0.3125</v>
      </c>
      <c r="H12">
        <f t="shared" ref="H12:H23" si="3">$P12-$B$7*$M12</f>
        <v>0.48654574247051147</v>
      </c>
      <c r="I12">
        <f t="shared" ref="I12:I23" si="4">$Q12-$B$7*$N12</f>
        <v>0.49280444131765971</v>
      </c>
      <c r="J12">
        <f t="shared" ref="J12:J23" si="5">R12-$B$7*O12</f>
        <v>0.47105542148473561</v>
      </c>
      <c r="K12">
        <f t="shared" ref="K12:K23" si="6" xml:space="preserve"> P12 * F12 + Q12 * G12 + R12</f>
        <v>1.0737820649520415</v>
      </c>
      <c r="L12">
        <f t="shared" ref="L12:L23" si="7">1/(1+EXP(-$K12))</f>
        <v>0.74531549440236089</v>
      </c>
      <c r="M12">
        <f t="shared" ref="M12:M23" si="8" xml:space="preserve"> ($L12 - $D12) * $L12 * (1 - $L12) * $F12</f>
        <v>0.12286075148217035</v>
      </c>
      <c r="N12">
        <f t="shared" ref="N12:N23" si="9" xml:space="preserve"> ($L12 - $D12) * $L12 * (1 - $L12) * $G12</f>
        <v>4.4211255268205234E-2</v>
      </c>
      <c r="O12">
        <f t="shared" ref="O12:O23" si="10" xml:space="preserve"> ($L12 - $D12) * $L12 * (1 - $L12)</f>
        <v>0.14147601685825675</v>
      </c>
      <c r="P12">
        <f t="shared" ref="P12:P23" si="11">H11</f>
        <v>0.49883181761872852</v>
      </c>
      <c r="Q12">
        <f t="shared" si="2"/>
        <v>0.49722556684448022</v>
      </c>
      <c r="R12">
        <f t="shared" si="2"/>
        <v>0.4852030231705613</v>
      </c>
    </row>
    <row r="13" spans="1:18" x14ac:dyDescent="0.25">
      <c r="A13">
        <f>Tabla!A7</f>
        <v>4</v>
      </c>
      <c r="B13">
        <f>Tabla!B7</f>
        <v>38</v>
      </c>
      <c r="C13">
        <f>Tabla!C7</f>
        <v>2.5</v>
      </c>
      <c r="D13">
        <f>Tabla!D7</f>
        <v>1</v>
      </c>
      <c r="E13" t="str">
        <f>Tabla!E7</f>
        <v>Entrenamiento</v>
      </c>
      <c r="F13">
        <f t="shared" si="1"/>
        <v>0.42105263157894735</v>
      </c>
      <c r="G13">
        <f t="shared" si="0"/>
        <v>0.81250000000000011</v>
      </c>
      <c r="H13">
        <f t="shared" si="3"/>
        <v>0.48857491185851848</v>
      </c>
      <c r="I13">
        <f t="shared" si="4"/>
        <v>0.49672010412107953</v>
      </c>
      <c r="J13">
        <f t="shared" si="5"/>
        <v>0.47587469878125227</v>
      </c>
      <c r="K13">
        <f t="shared" si="6"/>
        <v>1.0763203953060758</v>
      </c>
      <c r="L13">
        <f t="shared" si="7"/>
        <v>0.74579702095133116</v>
      </c>
      <c r="M13">
        <f t="shared" si="8"/>
        <v>-2.0291693880070228E-2</v>
      </c>
      <c r="N13">
        <f t="shared" si="9"/>
        <v>-3.9156628034198025E-2</v>
      </c>
      <c r="O13">
        <f t="shared" si="10"/>
        <v>-4.8192772965166795E-2</v>
      </c>
      <c r="P13">
        <f t="shared" si="11"/>
        <v>0.48654574247051147</v>
      </c>
      <c r="Q13">
        <f t="shared" si="2"/>
        <v>0.49280444131765971</v>
      </c>
      <c r="R13">
        <f t="shared" si="2"/>
        <v>0.47105542148473561</v>
      </c>
    </row>
    <row r="14" spans="1:18" x14ac:dyDescent="0.25">
      <c r="A14">
        <f>Tabla!A8</f>
        <v>5</v>
      </c>
      <c r="B14">
        <f>Tabla!B8</f>
        <v>60</v>
      </c>
      <c r="C14">
        <f>Tabla!C8</f>
        <v>1.3</v>
      </c>
      <c r="D14">
        <f>Tabla!D8</f>
        <v>0</v>
      </c>
      <c r="E14" t="str">
        <f>Tabla!E8</f>
        <v>Entrenamiento</v>
      </c>
      <c r="F14">
        <f t="shared" si="1"/>
        <v>1</v>
      </c>
      <c r="G14">
        <f t="shared" si="0"/>
        <v>6.2500000000000056E-2</v>
      </c>
      <c r="H14">
        <f t="shared" si="3"/>
        <v>0.47418899886334448</v>
      </c>
      <c r="I14">
        <f t="shared" si="4"/>
        <v>0.49582098455888118</v>
      </c>
      <c r="J14">
        <f t="shared" si="5"/>
        <v>0.46148878578607827</v>
      </c>
      <c r="K14">
        <f t="shared" si="6"/>
        <v>0.99549461714733822</v>
      </c>
      <c r="L14">
        <f t="shared" si="7"/>
        <v>0.73017184500106214</v>
      </c>
      <c r="M14">
        <f t="shared" si="8"/>
        <v>0.14385912995173974</v>
      </c>
      <c r="N14">
        <f t="shared" si="9"/>
        <v>8.9911956219837427E-3</v>
      </c>
      <c r="O14">
        <f t="shared" si="10"/>
        <v>0.14385912995173974</v>
      </c>
      <c r="P14">
        <f t="shared" si="11"/>
        <v>0.48857491185851848</v>
      </c>
      <c r="Q14">
        <f t="shared" si="2"/>
        <v>0.49672010412107953</v>
      </c>
      <c r="R14">
        <f t="shared" si="2"/>
        <v>0.47587469878125227</v>
      </c>
    </row>
    <row r="15" spans="1:18" x14ac:dyDescent="0.25">
      <c r="A15">
        <f>Tabla!A9</f>
        <v>6</v>
      </c>
      <c r="B15">
        <f>Tabla!B9</f>
        <v>32</v>
      </c>
      <c r="C15">
        <f>Tabla!C9</f>
        <v>2.1</v>
      </c>
      <c r="D15">
        <f>Tabla!D9</f>
        <v>1</v>
      </c>
      <c r="E15" t="str">
        <f>Tabla!E9</f>
        <v>Entrenamiento</v>
      </c>
      <c r="F15">
        <f t="shared" si="1"/>
        <v>0.26315789473684209</v>
      </c>
      <c r="G15">
        <f t="shared" si="0"/>
        <v>0.56250000000000011</v>
      </c>
      <c r="H15">
        <f t="shared" si="3"/>
        <v>0.47581444715719778</v>
      </c>
      <c r="I15">
        <f t="shared" si="4"/>
        <v>0.49929538028699255</v>
      </c>
      <c r="J15">
        <f t="shared" si="5"/>
        <v>0.46766548930272073</v>
      </c>
      <c r="K15">
        <f t="shared" si="6"/>
        <v>0.8651746682486976</v>
      </c>
      <c r="L15">
        <f t="shared" si="7"/>
        <v>0.70374065583433887</v>
      </c>
      <c r="M15">
        <f t="shared" si="8"/>
        <v>-1.6254482938532825E-2</v>
      </c>
      <c r="N15">
        <f t="shared" si="9"/>
        <v>-3.4743957281113923E-2</v>
      </c>
      <c r="O15">
        <f t="shared" si="10"/>
        <v>-6.176703516642474E-2</v>
      </c>
      <c r="P15">
        <f t="shared" si="11"/>
        <v>0.47418899886334448</v>
      </c>
      <c r="Q15">
        <f t="shared" si="2"/>
        <v>0.49582098455888118</v>
      </c>
      <c r="R15">
        <f t="shared" si="2"/>
        <v>0.46148878578607827</v>
      </c>
    </row>
    <row r="16" spans="1:18" x14ac:dyDescent="0.25">
      <c r="A16">
        <f>Tabla!A10</f>
        <v>7</v>
      </c>
      <c r="B16">
        <f>Tabla!B10</f>
        <v>48</v>
      </c>
      <c r="C16">
        <f>Tabla!C10</f>
        <v>2.2000000000000002</v>
      </c>
      <c r="D16">
        <f>Tabla!D10</f>
        <v>1</v>
      </c>
      <c r="E16" t="str">
        <f>Tabla!E10</f>
        <v>Entrenamiento</v>
      </c>
      <c r="F16">
        <f t="shared" si="1"/>
        <v>0.68421052631578949</v>
      </c>
      <c r="G16">
        <f t="shared" si="0"/>
        <v>0.62500000000000022</v>
      </c>
      <c r="H16">
        <f t="shared" si="3"/>
        <v>0.47899501480819423</v>
      </c>
      <c r="I16">
        <f t="shared" si="4"/>
        <v>0.50220070650665272</v>
      </c>
      <c r="J16">
        <f t="shared" si="5"/>
        <v>0.47231401125417705</v>
      </c>
      <c r="K16">
        <f t="shared" si="6"/>
        <v>1.1052823553001738</v>
      </c>
      <c r="L16">
        <f t="shared" si="7"/>
        <v>0.75124855088513565</v>
      </c>
      <c r="M16">
        <f t="shared" si="8"/>
        <v>-3.1805676509964464E-2</v>
      </c>
      <c r="N16">
        <f t="shared" si="9"/>
        <v>-2.9053262196602165E-2</v>
      </c>
      <c r="O16">
        <f t="shared" si="10"/>
        <v>-4.6485219514563449E-2</v>
      </c>
      <c r="P16">
        <f t="shared" si="11"/>
        <v>0.47581444715719778</v>
      </c>
      <c r="Q16">
        <f t="shared" si="2"/>
        <v>0.49929538028699255</v>
      </c>
      <c r="R16">
        <f t="shared" si="2"/>
        <v>0.46766548930272073</v>
      </c>
    </row>
    <row r="17" spans="1:18" x14ac:dyDescent="0.25">
      <c r="A17">
        <f>Tabla!A11</f>
        <v>8</v>
      </c>
      <c r="B17">
        <f>Tabla!B11</f>
        <v>28</v>
      </c>
      <c r="C17">
        <f>Tabla!C11</f>
        <v>1.8</v>
      </c>
      <c r="D17">
        <f>Tabla!D11</f>
        <v>0</v>
      </c>
      <c r="E17" t="str">
        <f>Tabla!E11</f>
        <v>Entrenamiento</v>
      </c>
      <c r="F17">
        <f t="shared" si="1"/>
        <v>0.15789473684210525</v>
      </c>
      <c r="G17">
        <f t="shared" si="0"/>
        <v>0.37500000000000011</v>
      </c>
      <c r="H17">
        <f t="shared" si="3"/>
        <v>0.47665727602302954</v>
      </c>
      <c r="I17">
        <f t="shared" si="4"/>
        <v>0.49664857689188657</v>
      </c>
      <c r="J17">
        <f t="shared" si="5"/>
        <v>0.45750833228146731</v>
      </c>
      <c r="K17">
        <f t="shared" si="6"/>
        <v>0.73627006800599204</v>
      </c>
      <c r="L17">
        <f t="shared" si="7"/>
        <v>0.6761796849323416</v>
      </c>
      <c r="M17">
        <f t="shared" si="8"/>
        <v>2.3377387851646957E-2</v>
      </c>
      <c r="N17">
        <f t="shared" si="9"/>
        <v>5.552129614766154E-2</v>
      </c>
      <c r="O17">
        <f t="shared" si="10"/>
        <v>0.1480567897270974</v>
      </c>
      <c r="P17">
        <f t="shared" si="11"/>
        <v>0.47899501480819423</v>
      </c>
      <c r="Q17">
        <f t="shared" si="2"/>
        <v>0.50220070650665272</v>
      </c>
      <c r="R17">
        <f t="shared" si="2"/>
        <v>0.47231401125417705</v>
      </c>
    </row>
    <row r="18" spans="1:18" x14ac:dyDescent="0.25">
      <c r="A18">
        <f>Tabla!A12</f>
        <v>9</v>
      </c>
      <c r="B18">
        <f>Tabla!B12</f>
        <v>50</v>
      </c>
      <c r="C18">
        <f>Tabla!C12</f>
        <v>1.9</v>
      </c>
      <c r="D18">
        <f>Tabla!D12</f>
        <v>0</v>
      </c>
      <c r="E18" t="str">
        <f>Tabla!E12</f>
        <v>Entrenamiento</v>
      </c>
      <c r="F18">
        <f t="shared" si="1"/>
        <v>0.73684210526315785</v>
      </c>
      <c r="G18">
        <f t="shared" si="0"/>
        <v>0.4375</v>
      </c>
      <c r="H18">
        <f t="shared" si="3"/>
        <v>0.46612146969735901</v>
      </c>
      <c r="I18">
        <f t="shared" si="4"/>
        <v>0.49039294188601967</v>
      </c>
      <c r="J18">
        <f t="shared" si="5"/>
        <v>0.44320973798234303</v>
      </c>
      <c r="K18">
        <f t="shared" si="6"/>
        <v>1.026013235425479</v>
      </c>
      <c r="L18">
        <f t="shared" si="7"/>
        <v>0.73614224865688271</v>
      </c>
      <c r="M18">
        <f t="shared" si="8"/>
        <v>0.10535806325670527</v>
      </c>
      <c r="N18">
        <f t="shared" si="9"/>
        <v>6.2556350058668761E-2</v>
      </c>
      <c r="O18">
        <f t="shared" si="10"/>
        <v>0.14298594299124287</v>
      </c>
      <c r="P18">
        <f t="shared" si="11"/>
        <v>0.47665727602302954</v>
      </c>
      <c r="Q18">
        <f t="shared" si="2"/>
        <v>0.49664857689188657</v>
      </c>
      <c r="R18">
        <f t="shared" si="2"/>
        <v>0.45750833228146731</v>
      </c>
    </row>
    <row r="19" spans="1:18" x14ac:dyDescent="0.25">
      <c r="A19">
        <f>Tabla!A13</f>
        <v>10</v>
      </c>
      <c r="B19">
        <f>Tabla!B13</f>
        <v>35</v>
      </c>
      <c r="C19">
        <f>Tabla!C13</f>
        <v>2.2999999999999998</v>
      </c>
      <c r="D19">
        <f>Tabla!D13</f>
        <v>1</v>
      </c>
      <c r="E19" t="str">
        <f>Tabla!E13</f>
        <v>Entrenamiento</v>
      </c>
      <c r="F19">
        <f t="shared" si="1"/>
        <v>0.34210526315789475</v>
      </c>
      <c r="G19">
        <f t="shared" si="0"/>
        <v>0.6875</v>
      </c>
      <c r="H19">
        <f t="shared" si="3"/>
        <v>0.46806300414393209</v>
      </c>
      <c r="I19">
        <f t="shared" si="4"/>
        <v>0.49429467937961363</v>
      </c>
      <c r="J19">
        <f t="shared" si="5"/>
        <v>0.44888499251847974</v>
      </c>
      <c r="K19">
        <f t="shared" si="6"/>
        <v>0.93981749358334121</v>
      </c>
      <c r="L19">
        <f t="shared" si="7"/>
        <v>0.71906279049657817</v>
      </c>
      <c r="M19">
        <f t="shared" si="8"/>
        <v>-1.9415344465730833E-2</v>
      </c>
      <c r="N19">
        <f t="shared" si="9"/>
        <v>-3.9017374935939847E-2</v>
      </c>
      <c r="O19">
        <f t="shared" si="10"/>
        <v>-5.6752545361367049E-2</v>
      </c>
      <c r="P19">
        <f t="shared" si="11"/>
        <v>0.46612146969735901</v>
      </c>
      <c r="Q19">
        <f t="shared" si="2"/>
        <v>0.49039294188601967</v>
      </c>
      <c r="R19">
        <f t="shared" si="2"/>
        <v>0.44320973798234303</v>
      </c>
    </row>
    <row r="20" spans="1:18" x14ac:dyDescent="0.25">
      <c r="A20">
        <f>Tabla!A14</f>
        <v>11</v>
      </c>
      <c r="B20">
        <f>Tabla!B14</f>
        <v>22</v>
      </c>
      <c r="C20">
        <f>Tabla!C14</f>
        <v>1.2</v>
      </c>
      <c r="D20">
        <f>Tabla!D14</f>
        <v>0</v>
      </c>
      <c r="E20" t="str">
        <f>Tabla!E14</f>
        <v>Test</v>
      </c>
      <c r="F20">
        <f t="shared" si="1"/>
        <v>0</v>
      </c>
      <c r="G20">
        <f t="shared" si="0"/>
        <v>0</v>
      </c>
      <c r="H20">
        <f t="shared" si="3"/>
        <v>0.46806300414393209</v>
      </c>
      <c r="I20">
        <f t="shared" si="4"/>
        <v>0.49429467937961363</v>
      </c>
      <c r="J20">
        <f t="shared" si="5"/>
        <v>0.43436922474067641</v>
      </c>
      <c r="K20">
        <f t="shared" si="6"/>
        <v>0.44888499251847974</v>
      </c>
      <c r="L20">
        <f t="shared" si="7"/>
        <v>0.61037409824950417</v>
      </c>
      <c r="M20">
        <f t="shared" si="8"/>
        <v>0</v>
      </c>
      <c r="N20">
        <f t="shared" si="9"/>
        <v>0</v>
      </c>
      <c r="O20">
        <f t="shared" si="10"/>
        <v>0.14515767777803348</v>
      </c>
      <c r="P20">
        <f t="shared" si="11"/>
        <v>0.46806300414393209</v>
      </c>
      <c r="Q20">
        <f t="shared" si="2"/>
        <v>0.49429467937961363</v>
      </c>
      <c r="R20">
        <f t="shared" si="2"/>
        <v>0.44888499251847974</v>
      </c>
    </row>
    <row r="21" spans="1:18" x14ac:dyDescent="0.25">
      <c r="A21">
        <f>Tabla!A15</f>
        <v>12</v>
      </c>
      <c r="B21">
        <f>Tabla!B15</f>
        <v>40</v>
      </c>
      <c r="C21">
        <f>Tabla!C15</f>
        <v>2.8</v>
      </c>
      <c r="D21">
        <f>Tabla!D15</f>
        <v>1</v>
      </c>
      <c r="E21" t="str">
        <f>Tabla!E15</f>
        <v>Test</v>
      </c>
      <c r="F21">
        <f t="shared" si="1"/>
        <v>0.47368421052631576</v>
      </c>
      <c r="G21">
        <f t="shared" si="0"/>
        <v>1</v>
      </c>
      <c r="H21">
        <f t="shared" si="3"/>
        <v>0.47014271893132797</v>
      </c>
      <c r="I21">
        <f t="shared" si="4"/>
        <v>0.49868518837522724</v>
      </c>
      <c r="J21">
        <f t="shared" si="5"/>
        <v>0.43875973373629001</v>
      </c>
      <c r="K21">
        <f t="shared" si="6"/>
        <v>1.1503779587147842</v>
      </c>
      <c r="L21">
        <f t="shared" si="7"/>
        <v>0.75957994588045985</v>
      </c>
      <c r="M21">
        <f t="shared" si="8"/>
        <v>-2.0797147873959074E-2</v>
      </c>
      <c r="N21">
        <f t="shared" si="9"/>
        <v>-4.3905089956135825E-2</v>
      </c>
      <c r="O21">
        <f t="shared" si="10"/>
        <v>-4.3905089956135825E-2</v>
      </c>
      <c r="P21">
        <f t="shared" si="11"/>
        <v>0.46806300414393209</v>
      </c>
      <c r="Q21">
        <f t="shared" si="2"/>
        <v>0.49429467937961363</v>
      </c>
      <c r="R21">
        <f t="shared" si="2"/>
        <v>0.43436922474067641</v>
      </c>
    </row>
    <row r="22" spans="1:18" x14ac:dyDescent="0.25">
      <c r="A22">
        <f>Tabla!A16</f>
        <v>13</v>
      </c>
      <c r="B22">
        <f>Tabla!B16</f>
        <v>58</v>
      </c>
      <c r="C22">
        <f>Tabla!C16</f>
        <v>1.5</v>
      </c>
      <c r="D22">
        <f>Tabla!D16</f>
        <v>0</v>
      </c>
      <c r="E22" t="str">
        <f>Tabla!E16</f>
        <v>Test</v>
      </c>
      <c r="F22">
        <f t="shared" si="1"/>
        <v>0.94736842105263153</v>
      </c>
      <c r="G22">
        <f t="shared" si="0"/>
        <v>0.18750000000000006</v>
      </c>
      <c r="H22">
        <f t="shared" si="3"/>
        <v>0.45646886587036983</v>
      </c>
      <c r="I22">
        <f t="shared" si="4"/>
        <v>0.4959789049569126</v>
      </c>
      <c r="J22">
        <f t="shared" si="5"/>
        <v>0.42432622217194527</v>
      </c>
      <c r="K22">
        <f t="shared" si="6"/>
        <v>0.97766157186000835</v>
      </c>
      <c r="L22">
        <f t="shared" si="7"/>
        <v>0.72664397474849607</v>
      </c>
      <c r="M22">
        <f t="shared" si="8"/>
        <v>0.13673853060958158</v>
      </c>
      <c r="N22">
        <f t="shared" si="9"/>
        <v>2.7062834183146364E-2</v>
      </c>
      <c r="O22">
        <f t="shared" si="10"/>
        <v>0.14433511564344723</v>
      </c>
      <c r="P22">
        <f t="shared" si="11"/>
        <v>0.47014271893132797</v>
      </c>
      <c r="Q22">
        <f t="shared" si="2"/>
        <v>0.49868518837522724</v>
      </c>
      <c r="R22">
        <f t="shared" si="2"/>
        <v>0.43875973373629001</v>
      </c>
    </row>
    <row r="23" spans="1:18" x14ac:dyDescent="0.25">
      <c r="A23">
        <f>Tabla!A17</f>
        <v>14</v>
      </c>
      <c r="B23">
        <f>Tabla!B17</f>
        <v>45</v>
      </c>
      <c r="C23">
        <f>Tabla!C17</f>
        <v>2.4</v>
      </c>
      <c r="D23">
        <f>Tabla!D17</f>
        <v>1</v>
      </c>
      <c r="E23" t="str">
        <f>Tabla!E17</f>
        <v>Test</v>
      </c>
      <c r="F23">
        <f t="shared" si="1"/>
        <v>0.60526315789473684</v>
      </c>
      <c r="G23">
        <f t="shared" si="0"/>
        <v>0.75</v>
      </c>
      <c r="H23">
        <f t="shared" si="3"/>
        <v>0.45939926565545836</v>
      </c>
      <c r="I23">
        <f t="shared" si="4"/>
        <v>0.49961005251669621</v>
      </c>
      <c r="J23">
        <f t="shared" si="5"/>
        <v>0.42916775225165671</v>
      </c>
      <c r="K23">
        <f t="shared" si="6"/>
        <v>1.0725941881269589</v>
      </c>
      <c r="L23">
        <f t="shared" si="7"/>
        <v>0.74508994555786578</v>
      </c>
      <c r="M23">
        <f t="shared" si="8"/>
        <v>-2.9303997850885145E-2</v>
      </c>
      <c r="N23">
        <f t="shared" si="9"/>
        <v>-3.6311475597835943E-2</v>
      </c>
      <c r="O23">
        <f t="shared" si="10"/>
        <v>-4.8415300797114591E-2</v>
      </c>
      <c r="P23">
        <f t="shared" si="11"/>
        <v>0.45646886587036983</v>
      </c>
      <c r="Q23">
        <f t="shared" si="2"/>
        <v>0.4959789049569126</v>
      </c>
      <c r="R23">
        <f t="shared" si="2"/>
        <v>0.42432622217194527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E93DF-0AC9-4AEE-B969-A0FE0C26F231}">
  <dimension ref="A1:D15"/>
  <sheetViews>
    <sheetView tabSelected="1" workbookViewId="0">
      <selection activeCell="G41" sqref="G41"/>
    </sheetView>
  </sheetViews>
  <sheetFormatPr baseColWidth="10" defaultRowHeight="15.75" x14ac:dyDescent="0.25"/>
  <sheetData>
    <row r="1" spans="1:4" x14ac:dyDescent="0.25">
      <c r="A1" t="s">
        <v>0</v>
      </c>
      <c r="B1" t="s">
        <v>22</v>
      </c>
      <c r="C1" t="s">
        <v>23</v>
      </c>
      <c r="D1" t="s">
        <v>24</v>
      </c>
    </row>
    <row r="2" spans="1:4" x14ac:dyDescent="0.25">
      <c r="A2">
        <v>1</v>
      </c>
      <c r="B2">
        <v>0.5</v>
      </c>
      <c r="C2">
        <v>0.5</v>
      </c>
      <c r="D2">
        <v>0.5</v>
      </c>
    </row>
    <row r="3" spans="1:4" x14ac:dyDescent="0.25">
      <c r="A3">
        <v>2</v>
      </c>
      <c r="B3">
        <v>0.49883181761872852</v>
      </c>
      <c r="C3">
        <v>0.49722556684448022</v>
      </c>
      <c r="D3">
        <v>0.4852030231705613</v>
      </c>
    </row>
    <row r="4" spans="1:4" x14ac:dyDescent="0.25">
      <c r="A4">
        <v>3</v>
      </c>
      <c r="B4">
        <v>0.48654574247051147</v>
      </c>
      <c r="C4">
        <v>0.49280444131765971</v>
      </c>
      <c r="D4">
        <v>0.47105542148473561</v>
      </c>
    </row>
    <row r="5" spans="1:4" x14ac:dyDescent="0.25">
      <c r="A5">
        <v>4</v>
      </c>
      <c r="B5">
        <v>0.48857491185851848</v>
      </c>
      <c r="C5">
        <v>0.49672010412107953</v>
      </c>
      <c r="D5">
        <v>0.47587469878125227</v>
      </c>
    </row>
    <row r="6" spans="1:4" x14ac:dyDescent="0.25">
      <c r="A6">
        <v>5</v>
      </c>
      <c r="B6">
        <v>0.47418899886334448</v>
      </c>
      <c r="C6">
        <v>0.49582098455888118</v>
      </c>
      <c r="D6">
        <v>0.46148878578607827</v>
      </c>
    </row>
    <row r="7" spans="1:4" x14ac:dyDescent="0.25">
      <c r="A7">
        <v>6</v>
      </c>
      <c r="B7">
        <v>0.47581444715719778</v>
      </c>
      <c r="C7">
        <v>0.49929538028699255</v>
      </c>
      <c r="D7">
        <v>0.46766548930272073</v>
      </c>
    </row>
    <row r="8" spans="1:4" x14ac:dyDescent="0.25">
      <c r="A8">
        <v>7</v>
      </c>
      <c r="B8">
        <v>0.47899501480819423</v>
      </c>
      <c r="C8">
        <v>0.50220070650665272</v>
      </c>
      <c r="D8">
        <v>0.47231401125417705</v>
      </c>
    </row>
    <row r="9" spans="1:4" x14ac:dyDescent="0.25">
      <c r="A9">
        <v>8</v>
      </c>
      <c r="B9">
        <v>0.47665727602302954</v>
      </c>
      <c r="C9">
        <v>0.49664857689188657</v>
      </c>
      <c r="D9">
        <v>0.45750833228146731</v>
      </c>
    </row>
    <row r="10" spans="1:4" x14ac:dyDescent="0.25">
      <c r="A10">
        <v>9</v>
      </c>
      <c r="B10">
        <v>0.46612146969735901</v>
      </c>
      <c r="C10">
        <v>0.49039294188601967</v>
      </c>
      <c r="D10">
        <v>0.44320973798234303</v>
      </c>
    </row>
    <row r="11" spans="1:4" x14ac:dyDescent="0.25">
      <c r="A11">
        <v>10</v>
      </c>
      <c r="B11">
        <v>0.46806300414393209</v>
      </c>
      <c r="C11">
        <v>0.49429467937961363</v>
      </c>
      <c r="D11">
        <v>0.44888499251847974</v>
      </c>
    </row>
    <row r="12" spans="1:4" x14ac:dyDescent="0.25">
      <c r="A12">
        <v>11</v>
      </c>
      <c r="B12">
        <v>0.46806300414393209</v>
      </c>
      <c r="C12">
        <v>0.49429467937961363</v>
      </c>
      <c r="D12">
        <v>0.43436922474067641</v>
      </c>
    </row>
    <row r="13" spans="1:4" x14ac:dyDescent="0.25">
      <c r="A13">
        <v>12</v>
      </c>
      <c r="B13">
        <v>0.47014271893132797</v>
      </c>
      <c r="C13">
        <v>0.49868518837522724</v>
      </c>
      <c r="D13">
        <v>0.43875973373629001</v>
      </c>
    </row>
    <row r="14" spans="1:4" x14ac:dyDescent="0.25">
      <c r="A14">
        <v>13</v>
      </c>
      <c r="B14">
        <v>0.45646886587036983</v>
      </c>
      <c r="C14">
        <v>0.4959789049569126</v>
      </c>
      <c r="D14">
        <v>0.42432622217194527</v>
      </c>
    </row>
    <row r="15" spans="1:4" x14ac:dyDescent="0.25">
      <c r="A15">
        <v>14</v>
      </c>
      <c r="B15">
        <v>0.45939926565545836</v>
      </c>
      <c r="C15">
        <v>0.49961005251669621</v>
      </c>
      <c r="D15">
        <v>0.42916775225165671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A90D8-C822-4932-BA23-53644BA5E760}">
  <dimension ref="A1:D15"/>
  <sheetViews>
    <sheetView workbookViewId="0">
      <selection activeCell="Q6" sqref="Q6"/>
    </sheetView>
  </sheetViews>
  <sheetFormatPr baseColWidth="10" defaultRowHeight="15.75" x14ac:dyDescent="0.25"/>
  <sheetData>
    <row r="1" spans="1:4" x14ac:dyDescent="0.25">
      <c r="A1" t="s">
        <v>0</v>
      </c>
      <c r="B1" t="s">
        <v>29</v>
      </c>
      <c r="C1" t="s">
        <v>30</v>
      </c>
      <c r="D1" t="s">
        <v>31</v>
      </c>
    </row>
    <row r="2" spans="1:4" x14ac:dyDescent="0.25">
      <c r="A2">
        <v>1</v>
      </c>
      <c r="B2">
        <v>0</v>
      </c>
      <c r="C2">
        <v>0</v>
      </c>
    </row>
    <row r="3" spans="1:4" x14ac:dyDescent="0.25">
      <c r="A3">
        <v>2</v>
      </c>
      <c r="B3">
        <v>1.1681823812714773E-2</v>
      </c>
      <c r="C3">
        <v>2.7744331555197593E-2</v>
      </c>
      <c r="D3">
        <v>0.14796976829438713</v>
      </c>
    </row>
    <row r="4" spans="1:4" x14ac:dyDescent="0.25">
      <c r="A4">
        <v>3</v>
      </c>
      <c r="B4">
        <v>0.12286075148217035</v>
      </c>
      <c r="C4">
        <v>4.4211255268205234E-2</v>
      </c>
      <c r="D4">
        <v>0.14147601685825675</v>
      </c>
    </row>
    <row r="5" spans="1:4" x14ac:dyDescent="0.25">
      <c r="A5">
        <v>4</v>
      </c>
      <c r="B5">
        <v>-2.0291693880070228E-2</v>
      </c>
      <c r="C5">
        <v>-3.9156628034198025E-2</v>
      </c>
      <c r="D5">
        <v>-4.8192772965166795E-2</v>
      </c>
    </row>
    <row r="6" spans="1:4" x14ac:dyDescent="0.25">
      <c r="A6">
        <v>5</v>
      </c>
      <c r="B6">
        <v>0.14385912995173974</v>
      </c>
      <c r="C6">
        <v>8.9911956219837427E-3</v>
      </c>
      <c r="D6">
        <v>0.14385912995173974</v>
      </c>
    </row>
    <row r="7" spans="1:4" x14ac:dyDescent="0.25">
      <c r="A7">
        <v>6</v>
      </c>
      <c r="B7">
        <v>-1.6254482938532825E-2</v>
      </c>
      <c r="C7">
        <v>-3.4743957281113923E-2</v>
      </c>
      <c r="D7">
        <v>-6.176703516642474E-2</v>
      </c>
    </row>
    <row r="8" spans="1:4" x14ac:dyDescent="0.25">
      <c r="A8">
        <v>7</v>
      </c>
      <c r="B8">
        <v>-3.1805676509964464E-2</v>
      </c>
      <c r="C8">
        <v>-2.9053262196602165E-2</v>
      </c>
      <c r="D8">
        <v>-4.6485219514563449E-2</v>
      </c>
    </row>
    <row r="9" spans="1:4" x14ac:dyDescent="0.25">
      <c r="A9">
        <v>8</v>
      </c>
      <c r="B9">
        <v>2.3377387851646957E-2</v>
      </c>
      <c r="C9">
        <v>5.552129614766154E-2</v>
      </c>
      <c r="D9">
        <v>0.1480567897270974</v>
      </c>
    </row>
    <row r="10" spans="1:4" x14ac:dyDescent="0.25">
      <c r="A10">
        <v>9</v>
      </c>
      <c r="B10">
        <v>0.10535806325670527</v>
      </c>
      <c r="C10">
        <v>6.2556350058668761E-2</v>
      </c>
      <c r="D10">
        <v>0.14298594299124287</v>
      </c>
    </row>
    <row r="11" spans="1:4" x14ac:dyDescent="0.25">
      <c r="A11">
        <v>10</v>
      </c>
      <c r="B11">
        <v>-1.9415344465730833E-2</v>
      </c>
      <c r="C11">
        <v>-3.9017374935939847E-2</v>
      </c>
      <c r="D11">
        <v>-5.6752545361367049E-2</v>
      </c>
    </row>
    <row r="12" spans="1:4" x14ac:dyDescent="0.25">
      <c r="A12">
        <v>11</v>
      </c>
      <c r="B12">
        <v>0</v>
      </c>
      <c r="C12">
        <v>0</v>
      </c>
      <c r="D12">
        <v>0.14515767777803348</v>
      </c>
    </row>
    <row r="13" spans="1:4" x14ac:dyDescent="0.25">
      <c r="A13">
        <v>12</v>
      </c>
      <c r="B13">
        <v>-2.0797147873959074E-2</v>
      </c>
      <c r="C13">
        <v>-4.3905089956135825E-2</v>
      </c>
      <c r="D13">
        <v>-4.3905089956135825E-2</v>
      </c>
    </row>
    <row r="14" spans="1:4" x14ac:dyDescent="0.25">
      <c r="A14">
        <v>13</v>
      </c>
      <c r="B14">
        <v>0.13673853060958158</v>
      </c>
      <c r="C14">
        <v>2.7062834183146364E-2</v>
      </c>
      <c r="D14">
        <v>0.14433511564344723</v>
      </c>
    </row>
    <row r="15" spans="1:4" x14ac:dyDescent="0.25">
      <c r="A15">
        <v>14</v>
      </c>
      <c r="B15">
        <v>-2.9303997850885145E-2</v>
      </c>
      <c r="C15">
        <v>-3.6311475597835943E-2</v>
      </c>
      <c r="D15">
        <v>-4.8415300797114591E-2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Tabla</vt:lpstr>
      <vt:lpstr>Datos Normalizados</vt:lpstr>
      <vt:lpstr>GRAF - Evolución de los pesos</vt:lpstr>
      <vt:lpstr>GRAF - Evolución gradientes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Solsona Sagrado</dc:creator>
  <cp:lastModifiedBy>Purificacion Pastor Lopez</cp:lastModifiedBy>
  <dcterms:created xsi:type="dcterms:W3CDTF">2025-11-25T08:37:34Z</dcterms:created>
  <dcterms:modified xsi:type="dcterms:W3CDTF">2025-12-01T19:44:16Z</dcterms:modified>
</cp:coreProperties>
</file>